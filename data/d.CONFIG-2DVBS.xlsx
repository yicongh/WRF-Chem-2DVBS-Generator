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tabRatio="500"/>
  </bookViews>
  <sheets>
    <sheet name="Sheet1" sheetId="1" r:id="rId1"/>
    <sheet name="backup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Yicong</author>
  </authors>
  <commentList>
    <comment ref="D1" authorId="0">
      <text>
        <r>
          <rPr>
            <b/>
            <sz val="9"/>
            <rFont val="宋体"/>
            <charset val="134"/>
          </rPr>
          <t>Yicong:</t>
        </r>
        <r>
          <rPr>
            <sz val="9"/>
            <rFont val="宋体"/>
            <charset val="134"/>
          </rPr>
          <t xml:space="preserve">
If the Class is Active for Compilation [0 or 1]; Non-Active Grids will not be Included in the Model.</t>
        </r>
      </text>
    </comment>
  </commentList>
</comments>
</file>

<file path=xl/comments2.xml><?xml version="1.0" encoding="utf-8"?>
<comments xmlns="http://schemas.openxmlformats.org/spreadsheetml/2006/main">
  <authors>
    <author>Yicong</author>
  </authors>
  <commentList>
    <comment ref="D1" authorId="0">
      <text>
        <r>
          <rPr>
            <b/>
            <sz val="9"/>
            <rFont val="宋体"/>
            <charset val="134"/>
          </rPr>
          <t>Yicong:</t>
        </r>
        <r>
          <rPr>
            <sz val="9"/>
            <rFont val="宋体"/>
            <charset val="134"/>
          </rPr>
          <t xml:space="preserve">
If the Class is Active for Compilation [0 or 1]; Non-Active Grids will not be Included in the Model.</t>
        </r>
      </text>
    </comment>
  </commentList>
</comments>
</file>

<file path=xl/sharedStrings.xml><?xml version="1.0" encoding="utf-8"?>
<sst xmlns="http://schemas.openxmlformats.org/spreadsheetml/2006/main" count="118" uniqueCount="51">
  <si>
    <t>INDEX</t>
  </si>
  <si>
    <t>CLASS</t>
  </si>
  <si>
    <t>NOTE</t>
  </si>
  <si>
    <t>if-ACTIVE</t>
  </si>
  <si>
    <t>s-XXX</t>
  </si>
  <si>
    <t>s-YYY</t>
  </si>
  <si>
    <t>p-XXX</t>
  </si>
  <si>
    <t>p-YYY</t>
  </si>
  <si>
    <t>PARAMS</t>
  </si>
  <si>
    <t>kOH-PRIME-BASE</t>
  </si>
  <si>
    <t>C01</t>
  </si>
  <si>
    <t>Oxygenated Aromatics</t>
  </si>
  <si>
    <t>[-2, 0, 1, 3, 6]</t>
  </si>
  <si>
    <t>[0.3, 0.6, 2.0]</t>
  </si>
  <si>
    <t>[4, 5, 6, 8]</t>
  </si>
  <si>
    <t>[0, 0.6]</t>
  </si>
  <si>
    <t>{"xFRAG": 0.5, "mFRAG": 1.811, "dLVP": 2.869, "pO1": 0.25, "pO2": 0.25, "pO3": 0.25, "pO4": 0.25, "kOH-AGE": 6.80e-11, "nCCC": 6.0}</t>
  </si>
  <si>
    <t>C02</t>
  </si>
  <si>
    <t>Heterocyclics</t>
  </si>
  <si>
    <t>{"xFRAG": 0.5, "mFRAG": 2.737, "dLVP": 2.637, "pO1": 0.510, "pO2": 0.251, "pO3": 0.138, "pO4": 0.101, "kOH-AGE": 5.92e-12, "nCCC": 6.0}</t>
  </si>
  <si>
    <t>C03</t>
  </si>
  <si>
    <t>Benzene-Series</t>
  </si>
  <si>
    <t>[0]</t>
  </si>
  <si>
    <t>{"xFRAG": 1.0, "mFRAG": 0.45, "dLVP": 1.800, "pO1": 0.2, "pO2": 0.8, "pO3": 0.0, "pO4": 0.0, "kOH-AGE": 2.5e-11, "nCCC": 7.0}</t>
  </si>
  <si>
    <t>C04</t>
  </si>
  <si>
    <t>Alkanes</t>
  </si>
  <si>
    <t>{"xFRAG": 1.0, "mFRAG": 0.200, "dLVP": 1.620, "pO1": 0.200, "pO2": 0.400, "pO3": 0.400, "pO4": 0.000, "kOH-AGE": 2.50e-11, "nCCC": 12.0}</t>
  </si>
  <si>
    <t>C05</t>
  </si>
  <si>
    <t>Terpenes</t>
  </si>
  <si>
    <t>[-2, 0, 1, 3, 6, 8]</t>
  </si>
  <si>
    <t>[0.3, 0.5, 2.0]</t>
  </si>
  <si>
    <t>[None]</t>
  </si>
  <si>
    <t>{"xFRAG": 1.0, "mFRAG": 0.475, "dLVP": 1.920, "pO1": 0.600, "pO2": 0.300, "pO3": 0.100, "pO4": 0.000, "kOH-AGE": 2.50e-11, "nCCC": 10.0}</t>
  </si>
  <si>
    <t>C06</t>
  </si>
  <si>
    <t>Polycyclic Aromatics</t>
  </si>
  <si>
    <t>{"xFRAG": 1.0, "mFRAG": 0.555, "dLVP": 0.697, "pO1": 0.389, "pO2": 0.335, "pO3": 0.156, "pO4": 0.120, "kOH-AGE": 6.00e-11, "nCCC": 10.0}</t>
  </si>
  <si>
    <t>C07</t>
  </si>
  <si>
    <t>S/LVOCs</t>
  </si>
  <si>
    <t>[0.0, 0.5, 1.0]</t>
  </si>
  <si>
    <t>[-3, 0, 3, 4, 5, 6]</t>
  </si>
  <si>
    <t>[0.6]</t>
  </si>
  <si>
    <t>{"mFRAG":0.4, "xFRAG":1.0, "dLVP":1.720, "pO1":0.300, "pO2":0.500, "pO3":0.200, "pO4":0.000, "kOH-AGE":4e-11,"nCCC":12}</t>
  </si>
  <si>
    <t>{'mFRAG':0.535, 'xFRAG':0.5, 'dLVP':1.700, 'pO1':0.230, 'pO2':0.300, 'pO3':0.259, 'pO4':0.211, 'kOH-AGE':6.76e-11,'nCCC':6}</t>
  </si>
  <si>
    <t>{'mFRAG':0.400, 'xFRAG':0.5, 'dLVP':1.750, 'pO1':0.426, 'pO2':0.347, 'pO3':0.028, 'pO4':0.199, 'kOH-AGE':8.13e-12, 'nCCC':6}</t>
  </si>
  <si>
    <t>{'mFRAG':0.300, 'xFRAG':1.0, 'dLVP':1.200, 'pO1':0.200, 'pO2':0.400, 'pO3':0.400, 'pO4':0.000, 'kOH-AGE':2.50e-11, 'nCCC':7}</t>
  </si>
  <si>
    <t>[0, 0.5, 1.5]</t>
  </si>
  <si>
    <t>{'mFRAG':0.083, 'xFRAG':1.0, 'dLVP':1.195, 'pO1':0.150, 'pO2':0.506, 'pO3':0.161, 'pO4':0.183, 'kOH-AGE':3.98e-12, 'nCCC':12}</t>
  </si>
  <si>
    <t>[0.1, 0.5, 1.0]</t>
  </si>
  <si>
    <t>{'mFRAG':0.300, 'xFRAG':1.0, 'dLVP':1.720, 'pO1':0.600, 'pO2':0.300, 'pO3':0.100, 'pO4':0.000, 'kOH-AGE':1.50e-11, 'nCCC':10}</t>
  </si>
  <si>
    <t>{'mFRAG':0.420, 'xFRAG':1.0, 'dLVP':0.509, 'pO1':0.088, 'pO2':0.040, 'pO3':0.086, 'pO4':0.786, 'kOH-AGE':2.63e-11, 'nCCC':10}</t>
  </si>
  <si>
    <t>{'mFRAG':0.4, 'xFRAG':1.0, 'dLVP':1.720, 'pO1':0.300, 'pO2':0.500, 'pO3':0.200, 'pO4':0.000, 'kOH-AGE':4e-11,'nCCC':12}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</si>
</sst>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宋体"/>
      <charset val="134"/>
    </font>
    <font>
      <b/>
      <sz val="11"/>
      <color rgb="FF000000"/>
      <name val="Courier New"/>
      <charset val="134"/>
    </font>
    <font>
      <sz val="11"/>
      <color rgb="FF000000"/>
      <name val="Courier New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  <xf numFmtId="0" fontId="2" fillId="0" borderId="0" xfId="0" applyFont="1" applyAlignment="1">
      <alignment horizontal="fill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I8" sqref="I8"/>
    </sheetView>
  </sheetViews>
  <sheetFormatPr defaultColWidth="9" defaultRowHeight="13.5" outlineLevelRow="7"/>
  <cols>
    <col min="1" max="2" width="8.71681415929203" customWidth="1"/>
    <col min="3" max="3" width="25.4867256637168" customWidth="1"/>
    <col min="4" max="4" width="12.0619469026549" customWidth="1"/>
    <col min="5" max="5" width="28.8761061946903" customWidth="1"/>
    <col min="6" max="6" width="18.5221238938053" customWidth="1"/>
    <col min="7" max="7" width="15.141592920354" customWidth="1"/>
    <col min="8" max="8" width="11.353982300885" customWidth="1"/>
    <col min="9" max="9" width="46.929203539823" customWidth="1"/>
    <col min="10" max="10" width="18.3893805309735" customWidth="1"/>
    <col min="11" max="1025" width="8.71681415929203" customWidth="1"/>
  </cols>
  <sheetData>
    <row r="1" ht="14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spans="1:10">
      <c r="A2" s="2">
        <v>0</v>
      </c>
      <c r="B2" s="2" t="s">
        <v>10</v>
      </c>
      <c r="C2" s="2" t="s">
        <v>11</v>
      </c>
      <c r="D2" s="2">
        <v>1</v>
      </c>
      <c r="E2" s="2" t="s">
        <v>12</v>
      </c>
      <c r="F2" s="2" t="s">
        <v>13</v>
      </c>
      <c r="G2" s="2" t="s">
        <v>14</v>
      </c>
      <c r="H2" s="2" t="s">
        <v>15</v>
      </c>
      <c r="I2" s="4" t="s">
        <v>16</v>
      </c>
      <c r="J2" s="3">
        <f>0.0000000000012*1.121</f>
        <v>1.3452e-12</v>
      </c>
    </row>
    <row r="3" ht="14.25" spans="1:10">
      <c r="A3" s="2">
        <v>1</v>
      </c>
      <c r="B3" s="2" t="s">
        <v>17</v>
      </c>
      <c r="C3" s="2" t="s">
        <v>18</v>
      </c>
      <c r="D3" s="2">
        <v>1</v>
      </c>
      <c r="E3" s="2" t="s">
        <v>12</v>
      </c>
      <c r="F3" s="2" t="s">
        <v>13</v>
      </c>
      <c r="G3" s="2" t="s">
        <v>14</v>
      </c>
      <c r="H3" s="2" t="s">
        <v>15</v>
      </c>
      <c r="I3" s="4" t="s">
        <v>19</v>
      </c>
      <c r="J3" s="3">
        <f>0.0000000000012*3.972</f>
        <v>4.7664e-12</v>
      </c>
    </row>
    <row r="4" ht="14.25" spans="1:10">
      <c r="A4" s="2">
        <v>2</v>
      </c>
      <c r="B4" s="2" t="s">
        <v>20</v>
      </c>
      <c r="C4" s="2" t="s">
        <v>21</v>
      </c>
      <c r="D4" s="2">
        <v>1</v>
      </c>
      <c r="E4" s="2" t="s">
        <v>12</v>
      </c>
      <c r="F4" s="2" t="s">
        <v>13</v>
      </c>
      <c r="G4" s="2" t="s">
        <v>14</v>
      </c>
      <c r="H4" s="2" t="s">
        <v>22</v>
      </c>
      <c r="I4" s="4" t="s">
        <v>23</v>
      </c>
      <c r="J4" s="3">
        <f>0.0000000000012*0.686</f>
        <v>8.232e-13</v>
      </c>
    </row>
    <row r="5" ht="14.25" spans="1:10">
      <c r="A5" s="2">
        <v>3</v>
      </c>
      <c r="B5" s="2" t="s">
        <v>24</v>
      </c>
      <c r="C5" s="2" t="s">
        <v>25</v>
      </c>
      <c r="D5" s="2">
        <v>1</v>
      </c>
      <c r="E5" s="2" t="s">
        <v>12</v>
      </c>
      <c r="F5" s="2" t="s">
        <v>13</v>
      </c>
      <c r="G5" s="2" t="s">
        <v>14</v>
      </c>
      <c r="H5" s="2" t="s">
        <v>22</v>
      </c>
      <c r="I5" s="4" t="s">
        <v>26</v>
      </c>
      <c r="J5" s="3">
        <f>0.0000000000012*1.094</f>
        <v>1.3128e-12</v>
      </c>
    </row>
    <row r="6" ht="14.25" spans="1:10">
      <c r="A6" s="2">
        <v>4</v>
      </c>
      <c r="B6" s="2" t="s">
        <v>27</v>
      </c>
      <c r="C6" s="2" t="s">
        <v>28</v>
      </c>
      <c r="D6" s="2">
        <v>1</v>
      </c>
      <c r="E6" s="2" t="s">
        <v>29</v>
      </c>
      <c r="F6" s="2" t="s">
        <v>30</v>
      </c>
      <c r="G6" s="2" t="s">
        <v>31</v>
      </c>
      <c r="H6" s="2" t="s">
        <v>31</v>
      </c>
      <c r="I6" s="4" t="s">
        <v>32</v>
      </c>
      <c r="J6" s="3">
        <f>0.0000000000012*4.358</f>
        <v>5.2296e-12</v>
      </c>
    </row>
    <row r="7" ht="14.25" spans="1:10">
      <c r="A7" s="2">
        <v>5</v>
      </c>
      <c r="B7" s="2" t="s">
        <v>33</v>
      </c>
      <c r="C7" s="2" t="s">
        <v>34</v>
      </c>
      <c r="D7" s="2">
        <v>1</v>
      </c>
      <c r="E7" s="2" t="s">
        <v>12</v>
      </c>
      <c r="F7" s="2" t="s">
        <v>13</v>
      </c>
      <c r="G7" s="2" t="s">
        <v>14</v>
      </c>
      <c r="H7" s="2" t="s">
        <v>22</v>
      </c>
      <c r="I7" s="4" t="s">
        <v>35</v>
      </c>
      <c r="J7" s="3">
        <f>0.0000000000012*4.921</f>
        <v>5.9052e-12</v>
      </c>
    </row>
    <row r="8" ht="14.25" spans="1:10">
      <c r="A8" s="2">
        <v>6</v>
      </c>
      <c r="B8" s="2" t="s">
        <v>36</v>
      </c>
      <c r="C8" s="2" t="s">
        <v>37</v>
      </c>
      <c r="D8" s="2">
        <v>1</v>
      </c>
      <c r="E8" s="2" t="s">
        <v>12</v>
      </c>
      <c r="F8" s="2" t="s">
        <v>38</v>
      </c>
      <c r="G8" s="2" t="s">
        <v>39</v>
      </c>
      <c r="H8" s="2" t="s">
        <v>40</v>
      </c>
      <c r="I8" s="2" t="s">
        <v>41</v>
      </c>
      <c r="J8" s="3">
        <f>0.0000000000012*1.121</f>
        <v>1.3452e-12</v>
      </c>
    </row>
  </sheetData>
  <pageMargins left="0.75" right="0.75" top="1" bottom="1" header="0.511805555555555" footer="0.511805555555555"/>
  <pageSetup paperSize="1" firstPageNumber="0" orientation="portrait" useFirstPageNumber="1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C31" sqref="C31"/>
    </sheetView>
  </sheetViews>
  <sheetFormatPr defaultColWidth="9" defaultRowHeight="13.5" outlineLevelRow="7"/>
  <cols>
    <col min="1" max="2" width="8.71681415929203" customWidth="1"/>
    <col min="3" max="3" width="25.4867256637168" customWidth="1"/>
    <col min="4" max="4" width="12.0619469026549" customWidth="1"/>
    <col min="5" max="5" width="28.8761061946903" customWidth="1"/>
    <col min="6" max="6" width="18.5221238938053" customWidth="1"/>
    <col min="7" max="7" width="15.141592920354" customWidth="1"/>
    <col min="8" max="8" width="11.353982300885" customWidth="1"/>
    <col min="9" max="9" width="8.71681415929203" customWidth="1"/>
    <col min="10" max="10" width="18.3893805309735" customWidth="1"/>
    <col min="11" max="1025" width="8.71681415929203" customWidth="1"/>
  </cols>
  <sheetData>
    <row r="1" ht="14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spans="1:10">
      <c r="A2" s="2">
        <v>0</v>
      </c>
      <c r="B2" s="2" t="s">
        <v>10</v>
      </c>
      <c r="C2" s="2" t="s">
        <v>11</v>
      </c>
      <c r="D2" s="2">
        <v>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42</v>
      </c>
      <c r="J2" s="3">
        <f>0.0000000000012*1.121</f>
        <v>1.3452e-12</v>
      </c>
    </row>
    <row r="3" ht="14.25" spans="1:10">
      <c r="A3" s="2">
        <v>1</v>
      </c>
      <c r="B3" s="2" t="s">
        <v>17</v>
      </c>
      <c r="C3" s="2" t="s">
        <v>18</v>
      </c>
      <c r="D3" s="2">
        <v>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43</v>
      </c>
      <c r="J3" s="3">
        <f>0.0000000000012*3.972</f>
        <v>4.7664e-12</v>
      </c>
    </row>
    <row r="4" ht="14.25" spans="1:10">
      <c r="A4" s="2">
        <v>2</v>
      </c>
      <c r="B4" s="2" t="s">
        <v>20</v>
      </c>
      <c r="C4" s="2" t="s">
        <v>21</v>
      </c>
      <c r="D4" s="2">
        <v>1</v>
      </c>
      <c r="E4" s="2" t="s">
        <v>12</v>
      </c>
      <c r="F4" s="2" t="s">
        <v>13</v>
      </c>
      <c r="G4" s="2" t="s">
        <v>14</v>
      </c>
      <c r="H4" s="2" t="s">
        <v>22</v>
      </c>
      <c r="I4" s="2" t="s">
        <v>44</v>
      </c>
      <c r="J4" s="3">
        <f>0.0000000000012*0.686</f>
        <v>8.232e-13</v>
      </c>
    </row>
    <row r="5" ht="14.25" spans="1:10">
      <c r="A5" s="2">
        <v>3</v>
      </c>
      <c r="B5" s="2" t="s">
        <v>24</v>
      </c>
      <c r="C5" s="2" t="s">
        <v>25</v>
      </c>
      <c r="D5" s="2">
        <v>1</v>
      </c>
      <c r="E5" s="2" t="s">
        <v>12</v>
      </c>
      <c r="F5" s="2" t="s">
        <v>45</v>
      </c>
      <c r="G5" s="2" t="s">
        <v>14</v>
      </c>
      <c r="H5" s="2" t="s">
        <v>22</v>
      </c>
      <c r="I5" s="2" t="s">
        <v>46</v>
      </c>
      <c r="J5" s="3">
        <f>0.0000000000012*1.094</f>
        <v>1.3128e-12</v>
      </c>
    </row>
    <row r="6" ht="14.25" spans="1:10">
      <c r="A6" s="2">
        <v>4</v>
      </c>
      <c r="B6" s="2" t="s">
        <v>27</v>
      </c>
      <c r="C6" s="2" t="s">
        <v>28</v>
      </c>
      <c r="D6" s="2">
        <v>1</v>
      </c>
      <c r="E6" s="2" t="s">
        <v>29</v>
      </c>
      <c r="F6" s="2" t="s">
        <v>47</v>
      </c>
      <c r="G6" s="2" t="s">
        <v>31</v>
      </c>
      <c r="H6" s="2" t="s">
        <v>31</v>
      </c>
      <c r="I6" s="2" t="s">
        <v>48</v>
      </c>
      <c r="J6" s="3">
        <f>0.0000000000012*4.358</f>
        <v>5.2296e-12</v>
      </c>
    </row>
    <row r="7" ht="14.25" spans="1:10">
      <c r="A7" s="2">
        <v>5</v>
      </c>
      <c r="B7" s="2" t="s">
        <v>33</v>
      </c>
      <c r="C7" s="2" t="s">
        <v>34</v>
      </c>
      <c r="D7" s="2">
        <v>1</v>
      </c>
      <c r="E7" s="2" t="s">
        <v>12</v>
      </c>
      <c r="F7" s="2" t="s">
        <v>45</v>
      </c>
      <c r="G7" s="2" t="s">
        <v>14</v>
      </c>
      <c r="H7" s="2" t="s">
        <v>22</v>
      </c>
      <c r="I7" s="2" t="s">
        <v>49</v>
      </c>
      <c r="J7" s="3">
        <f>0.0000000000012*4.921</f>
        <v>5.9052e-12</v>
      </c>
    </row>
    <row r="8" ht="14.25" spans="1:10">
      <c r="A8" s="2">
        <v>6</v>
      </c>
      <c r="B8" s="2" t="s">
        <v>36</v>
      </c>
      <c r="C8" s="2" t="s">
        <v>37</v>
      </c>
      <c r="D8" s="2">
        <v>1</v>
      </c>
      <c r="E8" s="2" t="s">
        <v>12</v>
      </c>
      <c r="F8" s="2" t="s">
        <v>13</v>
      </c>
      <c r="G8" s="2" t="s">
        <v>39</v>
      </c>
      <c r="H8" s="2" t="s">
        <v>40</v>
      </c>
      <c r="I8" s="2" t="s">
        <v>50</v>
      </c>
      <c r="J8" s="3">
        <f>0.0000000000012*1.121</f>
        <v>1.3452e-12</v>
      </c>
    </row>
  </sheetData>
  <pageMargins left="0.75" right="0.75" top="1" bottom="1" header="0.511805555555555" footer="0.511805555555555"/>
  <pageSetup paperSize="1" firstPageNumber="0" orientation="portrait" useFirstPageNumber="1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LibreOffice/5.3.6.1$Linux_X86_64 LibreOffice_project/30$Build-1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backup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Yicong He</dc:creator>
  <cp:lastModifiedBy>hyc</cp:lastModifiedBy>
  <cp:revision>13</cp:revision>
  <dcterms:created xsi:type="dcterms:W3CDTF">2024-03-16T03:15:00Z</dcterms:created>
  <dcterms:modified xsi:type="dcterms:W3CDTF">2025-08-13T08:25:26Z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8C38531C2E97487E99671668BC4B0344_11</vt:lpwstr>
  </property>
  <property fmtid="{D5CDD505-2E9C-101B-9397-08002B2CF9AE}" pid="3" name="KSOProductBuildVer">
    <vt:lpwstr>2052-12.1.0.21915</vt:lpwstr>
  </property>
</Properties>
</file>